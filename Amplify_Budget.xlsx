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UREAU\Online Events\VOLUNTEERING &amp; ADVOCACY\P - AMPLIFY IYC13\"/>
    </mc:Choice>
  </mc:AlternateContent>
  <bookViews>
    <workbookView xWindow="0" yWindow="0" windowWidth="14370" windowHeight="12960" tabRatio="500"/>
  </bookViews>
  <sheets>
    <sheet name="Amplify Budget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1" i="1" l="1"/>
  <c r="C67" i="1" l="1"/>
  <c r="C63" i="1"/>
  <c r="C59" i="1"/>
  <c r="C54" i="1"/>
  <c r="C49" i="1"/>
  <c r="C45" i="1"/>
  <c r="C41" i="1"/>
  <c r="C36" i="1"/>
  <c r="C32" i="1"/>
  <c r="C29" i="1"/>
  <c r="C25" i="1"/>
  <c r="C21" i="1"/>
  <c r="C17" i="1"/>
  <c r="C13" i="1"/>
  <c r="C9" i="1"/>
  <c r="C70" i="1" l="1"/>
</calcChain>
</file>

<file path=xl/sharedStrings.xml><?xml version="1.0" encoding="utf-8"?>
<sst xmlns="http://schemas.openxmlformats.org/spreadsheetml/2006/main" count="149" uniqueCount="110">
  <si>
    <t>ITEM / CATEGORY</t>
  </si>
  <si>
    <t>EST. AMOUNT (USD)</t>
  </si>
  <si>
    <t>EXPECTED SPONSOR / PARTNER</t>
  </si>
  <si>
    <t>NOTES</t>
  </si>
  <si>
    <t>STATUS</t>
  </si>
  <si>
    <t>▌  1. ONSITE OPERATIONS</t>
  </si>
  <si>
    <t xml:space="preserve">   ▸  1.1 Venue &amp; Setup</t>
  </si>
  <si>
    <t xml:space="preserve">      Meeting room rental</t>
  </si>
  <si>
    <t>IUSJC (in-kind)</t>
  </si>
  <si>
    <t>Covered by school partnership</t>
  </si>
  <si>
    <t>Covered ✓</t>
  </si>
  <si>
    <t xml:space="preserve">      Event banner / backdrop (1–2 printed)</t>
  </si>
  <si>
    <t>Step-and-repeat banner for photos &amp; Instagram</t>
  </si>
  <si>
    <t>To fund</t>
  </si>
  <si>
    <t xml:space="preserve">      Decoration materials (general)</t>
  </si>
  <si>
    <t xml:space="preserve">   SUBTOTAL — Venue &amp; Setup</t>
  </si>
  <si>
    <t xml:space="preserve">   ▸  1.2 Guest Experience</t>
  </si>
  <si>
    <t>Simple wristband per participant</t>
  </si>
  <si>
    <t>Printed name badges for volunteer team</t>
  </si>
  <si>
    <t xml:space="preserve">   SUBTOTAL — Guest Experience</t>
  </si>
  <si>
    <t xml:space="preserve">   ▸  1.3 Peace Engagement Activities</t>
  </si>
  <si>
    <t xml:space="preserve">      Handprint tree canvas / large paper (x2)</t>
  </si>
  <si>
    <t xml:space="preserve">      Fabric/acrylic paint + brushes</t>
  </si>
  <si>
    <t>Multiple colours for handprints</t>
  </si>
  <si>
    <t xml:space="preserve">   SUBTOTAL — Peace Engagement Activities</t>
  </si>
  <si>
    <t xml:space="preserve">   ▸  1.4 Catering</t>
  </si>
  <si>
    <t xml:space="preserve">      Drinks (water, soft drinks)</t>
  </si>
  <si>
    <t>Brasseries du Cameroun (in-kind)</t>
  </si>
  <si>
    <t>Fully covered by partnership</t>
  </si>
  <si>
    <t xml:space="preserve">      Snacks / donuts for volunteers &amp; participants</t>
  </si>
  <si>
    <t>Simple refreshments</t>
  </si>
  <si>
    <t xml:space="preserve">   SUBTOTAL — Catering</t>
  </si>
  <si>
    <t xml:space="preserve">   ▸  1.5 Speaker &amp; Performer Recognition</t>
  </si>
  <si>
    <t xml:space="preserve">      Certificate of appreciation (printed x4)</t>
  </si>
  <si>
    <t>2 panelists, 1 slam performer, 1 choir lead</t>
  </si>
  <si>
    <t xml:space="preserve">      Social media recognition post</t>
  </si>
  <si>
    <t xml:space="preserve">   SUBTOTAL — Speaker &amp; Performer Recognition</t>
  </si>
  <si>
    <t>▌  2. COMMUNITY OUTREACH</t>
  </si>
  <si>
    <t xml:space="preserve">      Eligible onsite volunteer compensation (pool)</t>
  </si>
  <si>
    <t xml:space="preserve">   SUBTOTAL — Volunteer Transport Compensation</t>
  </si>
  <si>
    <t>One round trip for participants coming from far</t>
  </si>
  <si>
    <t xml:space="preserve">   SUBTOTAL — Attendee Transport</t>
  </si>
  <si>
    <t xml:space="preserve">      School outreach posters (50–100 schools × 1–4 each)</t>
  </si>
  <si>
    <t xml:space="preserve">   SUBTOTAL — Printing &amp; Distribution Materials</t>
  </si>
  <si>
    <t>▌  3. ONLINE SESSION</t>
  </si>
  <si>
    <t xml:space="preserve">   ▸  3.1 Platform</t>
  </si>
  <si>
    <t xml:space="preserve">      Backup streaming (YouTube/Facebook Live)</t>
  </si>
  <si>
    <t>Free platforms as broadcast fallback</t>
  </si>
  <si>
    <t xml:space="preserve">   SUBTOTAL — Platform</t>
  </si>
  <si>
    <t xml:space="preserve">   ▸  3.2 Online Facilitation</t>
  </si>
  <si>
    <t xml:space="preserve">      SIG volunteer facilitators</t>
  </si>
  <si>
    <t>Pending ISOC</t>
  </si>
  <si>
    <t xml:space="preserve">   SUBTOTAL — Online Facilitation</t>
  </si>
  <si>
    <t>▌  4. MEDIA &amp; COMMUNICATIONS</t>
  </si>
  <si>
    <t xml:space="preserve">   ▸  4.1 Equipment</t>
  </si>
  <si>
    <t xml:space="preserve">      Tripod (for photography/video)</t>
  </si>
  <si>
    <t>Reusable — personal equipment or purchased</t>
  </si>
  <si>
    <t xml:space="preserve">   SUBTOTAL — Equipment</t>
  </si>
  <si>
    <t xml:space="preserve">   ▸  4.2 Digital Assets</t>
  </si>
  <si>
    <t xml:space="preserve">      Certificate template design (Canva)</t>
  </si>
  <si>
    <t>Free Canva plan sufficient</t>
  </si>
  <si>
    <t xml:space="preserve">      Instagram account setup &amp; branding</t>
  </si>
  <si>
    <t xml:space="preserve">      Social media content creation (pre/post)</t>
  </si>
  <si>
    <t>Handled by Live Communications Associate</t>
  </si>
  <si>
    <t xml:space="preserve">   SUBTOTAL — Digital Assets</t>
  </si>
  <si>
    <t>▌  5. IMPACT &amp; OUTCOMES</t>
  </si>
  <si>
    <t xml:space="preserve">   ▸  5.1 Participant Recognition</t>
  </si>
  <si>
    <t xml:space="preserve">      Public participant list (published online)</t>
  </si>
  <si>
    <t xml:space="preserve">   SUBTOTAL — Participant Recognition</t>
  </si>
  <si>
    <t xml:space="preserve">   ▸  5.2 Post-Event Reporting</t>
  </si>
  <si>
    <t xml:space="preserve">      IYC13 Live Impact Report submission</t>
  </si>
  <si>
    <t xml:space="preserve">      Post-event report to IUSJC &amp; partners</t>
  </si>
  <si>
    <t xml:space="preserve">   SUBTOTAL — Post-Event Reporting</t>
  </si>
  <si>
    <t>▌  6. CONTINGENCY</t>
  </si>
  <si>
    <t xml:space="preserve">   ▸  6.1 Miscellaneous &amp; Unforeseen Expenses</t>
  </si>
  <si>
    <t xml:space="preserve">      Contingency reserve (est. 8–10% of cash budget)</t>
  </si>
  <si>
    <t>Buffer for last-minute needs</t>
  </si>
  <si>
    <t xml:space="preserve">   SUBTOTAL — Contingency</t>
  </si>
  <si>
    <t>TOTAL ESTIMATED BUDGET (CASH EXPENSES ONLY)</t>
  </si>
  <si>
    <t xml:space="preserve">   GRAND TOTAL (excl. in-kind contributions)</t>
  </si>
  <si>
    <t xml:space="preserve">   Note: In-kind contributions (IUSJC venue/equipment, Brasseries du Cameroun drinks, ISOC Zoom) are not included in the cash total above but represent significant cost savings.</t>
  </si>
  <si>
    <t xml:space="preserve">Free with Google Workspace </t>
  </si>
  <si>
    <t xml:space="preserve">Google Sheets or website </t>
  </si>
  <si>
    <t>PDF document - no printing cost unless requested</t>
  </si>
  <si>
    <t xml:space="preserve">Digital submission </t>
  </si>
  <si>
    <t>Table covers, small décor items, SDG Cube Box</t>
  </si>
  <si>
    <t>AMPLIFY: YOUTH PEACE IN THE DIGITAL AGE - EVENT BUDGET</t>
  </si>
  <si>
    <t xml:space="preserve">   ▸  2.1 Volunteer Transport Compensation</t>
  </si>
  <si>
    <t xml:space="preserve">   ▸  2.2 Attendee Transport</t>
  </si>
  <si>
    <t xml:space="preserve">   ▸  2.3 Printing &amp; Distribution Materials</t>
  </si>
  <si>
    <t>Total shared pool for eligible volunteers based on distance criteria</t>
  </si>
  <si>
    <t xml:space="preserve">Zero cost  </t>
  </si>
  <si>
    <t>One for IUSJC</t>
  </si>
  <si>
    <t xml:space="preserve">      Bracelets </t>
  </si>
  <si>
    <t xml:space="preserve">      Peace in Letters coordination</t>
  </si>
  <si>
    <t xml:space="preserve">Digital only </t>
  </si>
  <si>
    <t>Pending IUSJC</t>
  </si>
  <si>
    <t xml:space="preserve"> Pending Brasseries </t>
  </si>
  <si>
    <t xml:space="preserve">      Digital certificates (auto-generated)</t>
  </si>
  <si>
    <t xml:space="preserve">Free </t>
  </si>
  <si>
    <t xml:space="preserve">      Zoom paid plan </t>
  </si>
  <si>
    <t>Number varies by school size</t>
  </si>
  <si>
    <t>ISOC SIG</t>
  </si>
  <si>
    <t>Remote facilitators from SIG - no cost</t>
  </si>
  <si>
    <t xml:space="preserve">   TOTAL ISOC SIG</t>
  </si>
  <si>
    <t xml:space="preserve">      Bus rental for distant attendees</t>
  </si>
  <si>
    <t xml:space="preserve">      Chairs, tables, microphones &amp; AV                                                                                   equipment</t>
  </si>
  <si>
    <t xml:space="preserve">      Prints (general)</t>
  </si>
  <si>
    <t>Est. 100 schools × 3 lists = ~300 prints at ~$0.25 each</t>
  </si>
  <si>
    <t xml:space="preserve">      Badges (onsite staff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</si>
</sst>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$#,##0;&quot;($&quot;#,##0\);\-"/>
  </numFmts>
  <fonts count="8" x14ac:knownFonts="1">
    <font>
      <sz val="11"/>
      <color theme="1"/>
      <name val="Calibri"/>
      <family val="2"/>
      <charset val="1"/>
    </font>
    <font>
      <sz val="12"/>
      <color rgb="FF333333"/>
      <name val="Times New Roman"/>
      <family val="1"/>
    </font>
    <font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2"/>
      <color rgb="FF1A5276"/>
      <name val="Times New Roman"/>
      <family val="1"/>
    </font>
    <font>
      <sz val="12"/>
      <color rgb="FF0000FF"/>
      <name val="Times New Roman"/>
      <family val="1"/>
    </font>
    <font>
      <sz val="12"/>
      <color rgb="FF7D6608"/>
      <name val="Times New Roman"/>
      <family val="1"/>
    </font>
    <font>
      <sz val="12"/>
      <color rgb="FF555555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1A5276"/>
        <bgColor rgb="FF333399"/>
      </patternFill>
    </fill>
    <fill>
      <patternFill patternType="solid">
        <fgColor rgb="FF2E86C1"/>
        <bgColor rgb="FF008080"/>
      </patternFill>
    </fill>
    <fill>
      <patternFill patternType="solid">
        <fgColor rgb="FFD6EAF8"/>
        <bgColor rgb="FFF2F3F4"/>
      </patternFill>
    </fill>
    <fill>
      <patternFill patternType="solid">
        <fgColor rgb="FFFFFFFF"/>
        <bgColor rgb="FFF2F3F4"/>
      </patternFill>
    </fill>
    <fill>
      <patternFill patternType="solid">
        <fgColor rgb="FFFDEBD0"/>
        <bgColor rgb="FFFCF3CF"/>
      </patternFill>
    </fill>
    <fill>
      <patternFill patternType="solid">
        <fgColor rgb="FFFCF3CF"/>
        <bgColor rgb="FFFDEBD0"/>
      </patternFill>
    </fill>
    <fill>
      <patternFill patternType="solid">
        <fgColor rgb="FFF2F3F4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left" vertical="center" indent="1"/>
    </xf>
    <xf numFmtId="0" fontId="1" fillId="5" borderId="1" xfId="0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left" vertical="center" indent="1"/>
    </xf>
    <xf numFmtId="164" fontId="6" fillId="6" borderId="1" xfId="0" applyNumberFormat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indent="1"/>
    </xf>
    <xf numFmtId="0" fontId="6" fillId="7" borderId="1" xfId="0" applyFont="1" applyFill="1" applyBorder="1" applyAlignment="1">
      <alignment horizontal="left" vertical="center" indent="1"/>
    </xf>
    <xf numFmtId="164" fontId="6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/>
    <xf numFmtId="0" fontId="6" fillId="7" borderId="0" xfId="0" applyFont="1" applyFill="1" applyBorder="1" applyAlignment="1">
      <alignment horizontal="left" vertical="center" indent="1"/>
    </xf>
    <xf numFmtId="164" fontId="6" fillId="7" borderId="0" xfId="0" applyNumberFormat="1" applyFont="1" applyFill="1" applyBorder="1" applyAlignment="1">
      <alignment horizontal="center" vertical="center"/>
    </xf>
    <xf numFmtId="0" fontId="3" fillId="7" borderId="0" xfId="0" applyFont="1" applyFill="1" applyBorder="1"/>
    <xf numFmtId="0" fontId="1" fillId="0" borderId="1" xfId="0" applyFont="1" applyFill="1" applyBorder="1" applyAlignment="1">
      <alignment horizontal="left" vertical="center" wrapText="1" indent="1"/>
    </xf>
    <xf numFmtId="164" fontId="5" fillId="0" borderId="1" xfId="0" applyNumberFormat="1" applyFont="1" applyFill="1" applyBorder="1" applyAlignment="1">
      <alignment horizontal="left" vertical="center" indent="1"/>
    </xf>
    <xf numFmtId="0" fontId="3" fillId="0" borderId="0" xfId="0" applyFont="1" applyFill="1"/>
    <xf numFmtId="0" fontId="4" fillId="4" borderId="2" xfId="0" applyFont="1" applyFill="1" applyBorder="1" applyAlignment="1">
      <alignment horizontal="left" vertical="center" indent="1"/>
    </xf>
    <xf numFmtId="0" fontId="2" fillId="2" borderId="2" xfId="0" applyFont="1" applyFill="1" applyBorder="1" applyAlignment="1">
      <alignment horizontal="left" vertical="center" indent="1"/>
    </xf>
    <xf numFmtId="0" fontId="7" fillId="8" borderId="2" xfId="0" applyFont="1" applyFill="1" applyBorder="1" applyAlignment="1">
      <alignment horizontal="left" vertical="center" wrapText="1" indent="1"/>
    </xf>
    <xf numFmtId="0" fontId="2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CCCCCC"/>
      <rgbColor rgb="FF808080"/>
      <rgbColor rgb="FF9999FF"/>
      <rgbColor rgb="FF993366"/>
      <rgbColor rgb="FFFCF3CF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CCFFCC"/>
      <rgbColor rgb="FFFDEBD0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F9900"/>
      <rgbColor rgb="FFFF6600"/>
      <rgbColor rgb="FF555555"/>
      <rgbColor rgb="FF969696"/>
      <rgbColor rgb="FF1A527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73"/>
  <sheetViews>
    <sheetView tabSelected="1" zoomScale="105" zoomScaleNormal="100" workbookViewId="0">
      <pane xSplit="1" ySplit="2" topLeftCell="B60" activePane="bottomRight" state="frozen"/>
      <selection pane="topRight" activeCell="B1" sqref="B1"/>
      <selection pane="bottomLeft" activeCell="A3" sqref="A3"/>
      <selection pane="bottomRight" activeCell="C71" sqref="C71"/>
    </sheetView>
  </sheetViews>
  <sheetFormatPr baseColWidth="10" defaultColWidth="8.7109375" defaultRowHeight="15.75" x14ac:dyDescent="0.25"/>
  <cols>
    <col min="1" max="1" width="0.5703125" style="1" customWidth="1"/>
    <col min="2" max="2" width="41.42578125" style="1" customWidth="1"/>
    <col min="3" max="4" width="23.28515625" style="1" customWidth="1"/>
    <col min="5" max="5" width="31.28515625" style="1" customWidth="1"/>
    <col min="6" max="6" width="23.28515625" style="1" customWidth="1"/>
    <col min="7" max="16384" width="8.7109375" style="1"/>
  </cols>
  <sheetData>
    <row r="1" spans="2:6" ht="27.75" customHeight="1" x14ac:dyDescent="0.25">
      <c r="B1" s="21" t="s">
        <v>86</v>
      </c>
      <c r="C1" s="21"/>
      <c r="D1" s="21"/>
      <c r="E1" s="21"/>
      <c r="F1" s="21"/>
    </row>
    <row r="2" spans="2:6" ht="51.75" customHeight="1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ht="21.75" customHeight="1" x14ac:dyDescent="0.25">
      <c r="B3" s="19" t="s">
        <v>5</v>
      </c>
      <c r="C3" s="19"/>
      <c r="D3" s="19"/>
      <c r="E3" s="19"/>
      <c r="F3" s="19"/>
    </row>
    <row r="4" spans="2:6" ht="18.75" customHeight="1" x14ac:dyDescent="0.25">
      <c r="B4" s="18" t="s">
        <v>6</v>
      </c>
      <c r="C4" s="18"/>
      <c r="D4" s="18"/>
      <c r="E4" s="18"/>
      <c r="F4" s="18"/>
    </row>
    <row r="5" spans="2:6" ht="44.25" customHeight="1" x14ac:dyDescent="0.25">
      <c r="B5" s="3" t="s">
        <v>7</v>
      </c>
      <c r="C5" s="4">
        <v>0</v>
      </c>
      <c r="D5" s="5" t="s">
        <v>8</v>
      </c>
      <c r="E5" s="5" t="s">
        <v>9</v>
      </c>
      <c r="F5" s="5" t="s">
        <v>96</v>
      </c>
    </row>
    <row r="6" spans="2:6" ht="44.25" customHeight="1" x14ac:dyDescent="0.25">
      <c r="B6" s="3" t="s">
        <v>106</v>
      </c>
      <c r="C6" s="4">
        <v>0</v>
      </c>
      <c r="D6" s="5" t="s">
        <v>8</v>
      </c>
      <c r="E6" s="5" t="s">
        <v>9</v>
      </c>
      <c r="F6" s="5" t="s">
        <v>96</v>
      </c>
    </row>
    <row r="7" spans="2:6" ht="44.25" customHeight="1" x14ac:dyDescent="0.25">
      <c r="B7" s="3" t="s">
        <v>11</v>
      </c>
      <c r="C7" s="4">
        <v>60</v>
      </c>
      <c r="D7" s="5" t="s">
        <v>102</v>
      </c>
      <c r="E7" s="5" t="s">
        <v>12</v>
      </c>
      <c r="F7" s="5" t="s">
        <v>51</v>
      </c>
    </row>
    <row r="8" spans="2:6" ht="44.25" customHeight="1" x14ac:dyDescent="0.25">
      <c r="B8" s="3" t="s">
        <v>14</v>
      </c>
      <c r="C8" s="4">
        <v>190</v>
      </c>
      <c r="D8" s="5" t="s">
        <v>102</v>
      </c>
      <c r="E8" s="5" t="s">
        <v>85</v>
      </c>
      <c r="F8" s="5" t="s">
        <v>51</v>
      </c>
    </row>
    <row r="9" spans="2:6" ht="44.25" customHeight="1" x14ac:dyDescent="0.25">
      <c r="B9" s="6" t="s">
        <v>15</v>
      </c>
      <c r="C9" s="7">
        <f>SUM(C5:C8)</f>
        <v>250</v>
      </c>
      <c r="D9" s="8"/>
      <c r="E9" s="8"/>
      <c r="F9" s="8"/>
    </row>
    <row r="10" spans="2:6" ht="44.25" customHeight="1" x14ac:dyDescent="0.25">
      <c r="B10" s="18" t="s">
        <v>16</v>
      </c>
      <c r="C10" s="18"/>
      <c r="D10" s="18"/>
      <c r="E10" s="18"/>
      <c r="F10" s="18"/>
    </row>
    <row r="11" spans="2:6" ht="44.25" customHeight="1" x14ac:dyDescent="0.25">
      <c r="B11" s="5" t="s">
        <v>93</v>
      </c>
      <c r="C11" s="4">
        <v>90</v>
      </c>
      <c r="D11" s="5"/>
      <c r="E11" s="5" t="s">
        <v>17</v>
      </c>
      <c r="F11" s="5" t="s">
        <v>13</v>
      </c>
    </row>
    <row r="12" spans="2:6" ht="44.25" customHeight="1" x14ac:dyDescent="0.25">
      <c r="B12" s="5" t="s">
        <v>109</v>
      </c>
      <c r="C12" s="4">
        <v>50</v>
      </c>
      <c r="D12" s="5" t="s">
        <v>102</v>
      </c>
      <c r="E12" s="5" t="s">
        <v>18</v>
      </c>
      <c r="F12" s="5" t="s">
        <v>51</v>
      </c>
    </row>
    <row r="13" spans="2:6" ht="44.25" customHeight="1" x14ac:dyDescent="0.25">
      <c r="B13" s="6" t="s">
        <v>19</v>
      </c>
      <c r="C13" s="7">
        <f>SUM(C11:C12)</f>
        <v>140</v>
      </c>
      <c r="D13" s="8"/>
      <c r="E13" s="8"/>
      <c r="F13" s="8"/>
    </row>
    <row r="14" spans="2:6" ht="44.25" customHeight="1" x14ac:dyDescent="0.25">
      <c r="B14" s="18" t="s">
        <v>20</v>
      </c>
      <c r="C14" s="18"/>
      <c r="D14" s="18"/>
      <c r="E14" s="18"/>
      <c r="F14" s="18"/>
    </row>
    <row r="15" spans="2:6" ht="44.25" customHeight="1" x14ac:dyDescent="0.25">
      <c r="B15" s="5" t="s">
        <v>21</v>
      </c>
      <c r="C15" s="4">
        <v>20</v>
      </c>
      <c r="D15" s="5" t="s">
        <v>102</v>
      </c>
      <c r="E15" s="5" t="s">
        <v>92</v>
      </c>
      <c r="F15" s="5" t="s">
        <v>51</v>
      </c>
    </row>
    <row r="16" spans="2:6" s="17" customFormat="1" ht="44.25" customHeight="1" x14ac:dyDescent="0.25">
      <c r="B16" s="15" t="s">
        <v>22</v>
      </c>
      <c r="C16" s="16">
        <v>30</v>
      </c>
      <c r="D16" s="15" t="s">
        <v>102</v>
      </c>
      <c r="E16" s="15" t="s">
        <v>23</v>
      </c>
      <c r="F16" s="15" t="s">
        <v>51</v>
      </c>
    </row>
    <row r="17" spans="2:6" ht="44.25" customHeight="1" x14ac:dyDescent="0.25">
      <c r="B17" s="6" t="s">
        <v>24</v>
      </c>
      <c r="C17" s="7">
        <f>SUM(C15:C16)</f>
        <v>50</v>
      </c>
      <c r="D17" s="8"/>
      <c r="E17" s="8"/>
      <c r="F17" s="8"/>
    </row>
    <row r="18" spans="2:6" ht="44.25" customHeight="1" x14ac:dyDescent="0.25">
      <c r="B18" s="18" t="s">
        <v>25</v>
      </c>
      <c r="C18" s="18"/>
      <c r="D18" s="18"/>
      <c r="E18" s="18"/>
      <c r="F18" s="18"/>
    </row>
    <row r="19" spans="2:6" ht="44.25" customHeight="1" x14ac:dyDescent="0.25">
      <c r="B19" s="5" t="s">
        <v>26</v>
      </c>
      <c r="C19" s="4">
        <v>0</v>
      </c>
      <c r="D19" s="5" t="s">
        <v>27</v>
      </c>
      <c r="E19" s="5" t="s">
        <v>28</v>
      </c>
      <c r="F19" s="5" t="s">
        <v>97</v>
      </c>
    </row>
    <row r="20" spans="2:6" ht="44.25" customHeight="1" x14ac:dyDescent="0.25">
      <c r="B20" s="5" t="s">
        <v>29</v>
      </c>
      <c r="C20" s="4">
        <v>20</v>
      </c>
      <c r="D20" s="5" t="s">
        <v>102</v>
      </c>
      <c r="E20" s="5" t="s">
        <v>30</v>
      </c>
      <c r="F20" s="5" t="s">
        <v>51</v>
      </c>
    </row>
    <row r="21" spans="2:6" ht="44.25" customHeight="1" x14ac:dyDescent="0.25">
      <c r="B21" s="6" t="s">
        <v>31</v>
      </c>
      <c r="C21" s="7">
        <f>SUM(C19:C20)</f>
        <v>20</v>
      </c>
      <c r="D21" s="8"/>
      <c r="E21" s="8"/>
      <c r="F21" s="8"/>
    </row>
    <row r="22" spans="2:6" ht="44.25" customHeight="1" x14ac:dyDescent="0.25">
      <c r="B22" s="18" t="s">
        <v>32</v>
      </c>
      <c r="C22" s="18"/>
      <c r="D22" s="18"/>
      <c r="E22" s="18"/>
      <c r="F22" s="18"/>
    </row>
    <row r="23" spans="2:6" ht="44.25" customHeight="1" x14ac:dyDescent="0.25">
      <c r="B23" s="5" t="s">
        <v>33</v>
      </c>
      <c r="C23" s="4">
        <v>5</v>
      </c>
      <c r="D23" s="5" t="s">
        <v>102</v>
      </c>
      <c r="E23" s="5" t="s">
        <v>34</v>
      </c>
      <c r="F23" s="5" t="s">
        <v>51</v>
      </c>
    </row>
    <row r="24" spans="2:6" ht="44.25" customHeight="1" x14ac:dyDescent="0.25">
      <c r="B24" s="5" t="s">
        <v>35</v>
      </c>
      <c r="C24" s="4">
        <v>0</v>
      </c>
      <c r="D24" s="5"/>
      <c r="E24" s="5" t="s">
        <v>91</v>
      </c>
      <c r="F24" s="5" t="s">
        <v>10</v>
      </c>
    </row>
    <row r="25" spans="2:6" ht="44.25" customHeight="1" x14ac:dyDescent="0.25">
      <c r="B25" s="6" t="s">
        <v>36</v>
      </c>
      <c r="C25" s="7">
        <f>SUM(C23:C24)</f>
        <v>5</v>
      </c>
      <c r="D25" s="8"/>
      <c r="E25" s="8"/>
      <c r="F25" s="8"/>
    </row>
    <row r="26" spans="2:6" ht="44.25" customHeight="1" x14ac:dyDescent="0.25">
      <c r="B26" s="19" t="s">
        <v>37</v>
      </c>
      <c r="C26" s="19"/>
      <c r="D26" s="19"/>
      <c r="E26" s="19"/>
      <c r="F26" s="19"/>
    </row>
    <row r="27" spans="2:6" ht="44.25" customHeight="1" x14ac:dyDescent="0.25">
      <c r="B27" s="18" t="s">
        <v>87</v>
      </c>
      <c r="C27" s="18"/>
      <c r="D27" s="18"/>
      <c r="E27" s="18"/>
      <c r="F27" s="18"/>
    </row>
    <row r="28" spans="2:6" ht="61.5" customHeight="1" x14ac:dyDescent="0.25">
      <c r="B28" s="5" t="s">
        <v>38</v>
      </c>
      <c r="C28" s="4">
        <v>80</v>
      </c>
      <c r="D28" s="5"/>
      <c r="E28" s="5" t="s">
        <v>90</v>
      </c>
      <c r="F28" s="5" t="s">
        <v>13</v>
      </c>
    </row>
    <row r="29" spans="2:6" ht="44.25" customHeight="1" x14ac:dyDescent="0.25">
      <c r="B29" s="6" t="s">
        <v>39</v>
      </c>
      <c r="C29" s="7">
        <f>SUM(C28:C28)</f>
        <v>80</v>
      </c>
      <c r="D29" s="8"/>
      <c r="E29" s="8"/>
      <c r="F29" s="8"/>
    </row>
    <row r="30" spans="2:6" ht="44.25" customHeight="1" x14ac:dyDescent="0.25">
      <c r="B30" s="18" t="s">
        <v>88</v>
      </c>
      <c r="C30" s="18"/>
      <c r="D30" s="18"/>
      <c r="E30" s="18"/>
      <c r="F30" s="18"/>
    </row>
    <row r="31" spans="2:6" ht="44.25" customHeight="1" x14ac:dyDescent="0.25">
      <c r="B31" s="5" t="s">
        <v>105</v>
      </c>
      <c r="C31" s="4">
        <v>180</v>
      </c>
      <c r="D31" s="5" t="s">
        <v>102</v>
      </c>
      <c r="E31" s="5" t="s">
        <v>40</v>
      </c>
      <c r="F31" s="5" t="s">
        <v>51</v>
      </c>
    </row>
    <row r="32" spans="2:6" ht="44.25" customHeight="1" x14ac:dyDescent="0.25">
      <c r="B32" s="6" t="s">
        <v>41</v>
      </c>
      <c r="C32" s="7">
        <f>SUM(C31:C31)</f>
        <v>180</v>
      </c>
      <c r="D32" s="8"/>
      <c r="E32" s="8"/>
      <c r="F32" s="8"/>
    </row>
    <row r="33" spans="2:6" ht="44.25" customHeight="1" x14ac:dyDescent="0.25">
      <c r="B33" s="18" t="s">
        <v>89</v>
      </c>
      <c r="C33" s="18"/>
      <c r="D33" s="18"/>
      <c r="E33" s="18"/>
      <c r="F33" s="18"/>
    </row>
    <row r="34" spans="2:6" ht="44.25" customHeight="1" x14ac:dyDescent="0.25">
      <c r="B34" s="5" t="s">
        <v>42</v>
      </c>
      <c r="C34" s="4">
        <v>120</v>
      </c>
      <c r="D34" s="5" t="s">
        <v>102</v>
      </c>
      <c r="E34" s="5" t="s">
        <v>101</v>
      </c>
      <c r="F34" s="5" t="s">
        <v>51</v>
      </c>
    </row>
    <row r="35" spans="2:6" s="17" customFormat="1" ht="44.25" customHeight="1" x14ac:dyDescent="0.25">
      <c r="B35" s="15" t="s">
        <v>107</v>
      </c>
      <c r="C35" s="16">
        <v>75</v>
      </c>
      <c r="D35" s="15" t="s">
        <v>102</v>
      </c>
      <c r="E35" s="15" t="s">
        <v>108</v>
      </c>
      <c r="F35" s="15" t="s">
        <v>51</v>
      </c>
    </row>
    <row r="36" spans="2:6" ht="44.25" customHeight="1" x14ac:dyDescent="0.25">
      <c r="B36" s="6" t="s">
        <v>43</v>
      </c>
      <c r="C36" s="7">
        <f>SUM(C34:C35)</f>
        <v>195</v>
      </c>
      <c r="D36" s="8"/>
      <c r="E36" s="8"/>
      <c r="F36" s="8"/>
    </row>
    <row r="37" spans="2:6" ht="44.25" customHeight="1" x14ac:dyDescent="0.25">
      <c r="B37" s="19" t="s">
        <v>44</v>
      </c>
      <c r="C37" s="19"/>
      <c r="D37" s="19"/>
      <c r="E37" s="19"/>
      <c r="F37" s="19"/>
    </row>
    <row r="38" spans="2:6" ht="44.25" customHeight="1" x14ac:dyDescent="0.25">
      <c r="B38" s="18" t="s">
        <v>45</v>
      </c>
      <c r="C38" s="18"/>
      <c r="D38" s="18"/>
      <c r="E38" s="18"/>
      <c r="F38" s="18"/>
    </row>
    <row r="39" spans="2:6" ht="44.25" customHeight="1" x14ac:dyDescent="0.25">
      <c r="B39" s="5" t="s">
        <v>100</v>
      </c>
      <c r="C39" s="4">
        <v>0</v>
      </c>
      <c r="D39" s="5" t="s">
        <v>102</v>
      </c>
      <c r="E39" s="5"/>
      <c r="F39" s="5" t="s">
        <v>51</v>
      </c>
    </row>
    <row r="40" spans="2:6" ht="44.25" customHeight="1" x14ac:dyDescent="0.25">
      <c r="B40" s="5" t="s">
        <v>46</v>
      </c>
      <c r="C40" s="4">
        <v>0</v>
      </c>
      <c r="D40" s="5" t="s">
        <v>102</v>
      </c>
      <c r="E40" s="5" t="s">
        <v>47</v>
      </c>
      <c r="F40" s="5" t="s">
        <v>51</v>
      </c>
    </row>
    <row r="41" spans="2:6" ht="44.25" customHeight="1" x14ac:dyDescent="0.25">
      <c r="B41" s="6" t="s">
        <v>48</v>
      </c>
      <c r="C41" s="7">
        <f>SUM(C39:C40)</f>
        <v>0</v>
      </c>
      <c r="D41" s="8"/>
      <c r="E41" s="8"/>
      <c r="F41" s="8"/>
    </row>
    <row r="42" spans="2:6" ht="44.25" customHeight="1" x14ac:dyDescent="0.25">
      <c r="B42" s="18" t="s">
        <v>49</v>
      </c>
      <c r="C42" s="18"/>
      <c r="D42" s="18"/>
      <c r="E42" s="18"/>
      <c r="F42" s="18"/>
    </row>
    <row r="43" spans="2:6" ht="44.25" customHeight="1" x14ac:dyDescent="0.25">
      <c r="B43" s="5" t="s">
        <v>50</v>
      </c>
      <c r="C43" s="4">
        <v>0</v>
      </c>
      <c r="D43" s="5" t="s">
        <v>102</v>
      </c>
      <c r="E43" s="5" t="s">
        <v>103</v>
      </c>
      <c r="F43" s="5" t="s">
        <v>51</v>
      </c>
    </row>
    <row r="44" spans="2:6" ht="44.25" customHeight="1" x14ac:dyDescent="0.25">
      <c r="B44" s="5" t="s">
        <v>94</v>
      </c>
      <c r="C44" s="4">
        <v>0</v>
      </c>
      <c r="D44" s="5" t="s">
        <v>102</v>
      </c>
      <c r="E44" s="5" t="s">
        <v>95</v>
      </c>
      <c r="F44" s="5" t="s">
        <v>51</v>
      </c>
    </row>
    <row r="45" spans="2:6" ht="44.25" customHeight="1" x14ac:dyDescent="0.25">
      <c r="B45" s="6" t="s">
        <v>52</v>
      </c>
      <c r="C45" s="7">
        <f>SUM(C43:C44)</f>
        <v>0</v>
      </c>
      <c r="D45" s="8"/>
      <c r="E45" s="8"/>
      <c r="F45" s="8"/>
    </row>
    <row r="46" spans="2:6" ht="44.25" customHeight="1" x14ac:dyDescent="0.25">
      <c r="B46" s="19" t="s">
        <v>53</v>
      </c>
      <c r="C46" s="19"/>
      <c r="D46" s="19"/>
      <c r="E46" s="19"/>
      <c r="F46" s="19"/>
    </row>
    <row r="47" spans="2:6" ht="44.25" customHeight="1" x14ac:dyDescent="0.25">
      <c r="B47" s="18" t="s">
        <v>54</v>
      </c>
      <c r="C47" s="18"/>
      <c r="D47" s="18"/>
      <c r="E47" s="18"/>
      <c r="F47" s="18"/>
    </row>
    <row r="48" spans="2:6" s="17" customFormat="1" ht="44.25" customHeight="1" x14ac:dyDescent="0.25">
      <c r="B48" s="15" t="s">
        <v>55</v>
      </c>
      <c r="C48" s="16">
        <v>30</v>
      </c>
      <c r="D48" s="15"/>
      <c r="E48" s="15" t="s">
        <v>56</v>
      </c>
      <c r="F48" s="15" t="s">
        <v>13</v>
      </c>
    </row>
    <row r="49" spans="2:6" ht="44.25" customHeight="1" x14ac:dyDescent="0.25">
      <c r="B49" s="6" t="s">
        <v>57</v>
      </c>
      <c r="C49" s="7">
        <f>SUM(C48:C48)</f>
        <v>30</v>
      </c>
      <c r="D49" s="8"/>
      <c r="E49" s="8"/>
      <c r="F49" s="8"/>
    </row>
    <row r="50" spans="2:6" ht="44.25" customHeight="1" x14ac:dyDescent="0.25">
      <c r="B50" s="18" t="s">
        <v>58</v>
      </c>
      <c r="C50" s="18"/>
      <c r="D50" s="18"/>
      <c r="E50" s="18"/>
      <c r="F50" s="18"/>
    </row>
    <row r="51" spans="2:6" ht="44.25" customHeight="1" x14ac:dyDescent="0.25">
      <c r="B51" s="5" t="s">
        <v>59</v>
      </c>
      <c r="C51" s="4">
        <v>0</v>
      </c>
      <c r="D51" s="5"/>
      <c r="E51" s="5" t="s">
        <v>60</v>
      </c>
      <c r="F51" s="5" t="s">
        <v>10</v>
      </c>
    </row>
    <row r="52" spans="2:6" ht="44.25" customHeight="1" x14ac:dyDescent="0.25">
      <c r="B52" s="5" t="s">
        <v>61</v>
      </c>
      <c r="C52" s="4">
        <v>0</v>
      </c>
      <c r="D52" s="5"/>
      <c r="E52" s="5" t="s">
        <v>99</v>
      </c>
      <c r="F52" s="5" t="s">
        <v>10</v>
      </c>
    </row>
    <row r="53" spans="2:6" ht="44.25" customHeight="1" x14ac:dyDescent="0.25">
      <c r="B53" s="5" t="s">
        <v>62</v>
      </c>
      <c r="C53" s="4">
        <v>0</v>
      </c>
      <c r="D53" s="5"/>
      <c r="E53" s="5" t="s">
        <v>63</v>
      </c>
      <c r="F53" s="5" t="s">
        <v>10</v>
      </c>
    </row>
    <row r="54" spans="2:6" ht="44.25" customHeight="1" x14ac:dyDescent="0.25">
      <c r="B54" s="6" t="s">
        <v>64</v>
      </c>
      <c r="C54" s="7">
        <f>SUM(C51:C53)</f>
        <v>0</v>
      </c>
      <c r="D54" s="8"/>
      <c r="E54" s="8"/>
      <c r="F54" s="8"/>
    </row>
    <row r="55" spans="2:6" ht="44.25" customHeight="1" x14ac:dyDescent="0.25">
      <c r="B55" s="19" t="s">
        <v>65</v>
      </c>
      <c r="C55" s="19"/>
      <c r="D55" s="19"/>
      <c r="E55" s="19"/>
      <c r="F55" s="19"/>
    </row>
    <row r="56" spans="2:6" ht="44.25" customHeight="1" x14ac:dyDescent="0.25">
      <c r="B56" s="18" t="s">
        <v>66</v>
      </c>
      <c r="C56" s="18"/>
      <c r="D56" s="18"/>
      <c r="E56" s="18"/>
      <c r="F56" s="18"/>
    </row>
    <row r="57" spans="2:6" ht="44.25" customHeight="1" x14ac:dyDescent="0.25">
      <c r="B57" s="5" t="s">
        <v>98</v>
      </c>
      <c r="C57" s="4">
        <v>0</v>
      </c>
      <c r="D57" s="5"/>
      <c r="E57" s="5" t="s">
        <v>81</v>
      </c>
      <c r="F57" s="5" t="s">
        <v>10</v>
      </c>
    </row>
    <row r="58" spans="2:6" ht="44.25" customHeight="1" x14ac:dyDescent="0.25">
      <c r="B58" s="5" t="s">
        <v>67</v>
      </c>
      <c r="C58" s="4">
        <v>0</v>
      </c>
      <c r="D58" s="5"/>
      <c r="E58" s="5" t="s">
        <v>82</v>
      </c>
      <c r="F58" s="5" t="s">
        <v>10</v>
      </c>
    </row>
    <row r="59" spans="2:6" ht="44.25" customHeight="1" x14ac:dyDescent="0.25">
      <c r="B59" s="6" t="s">
        <v>68</v>
      </c>
      <c r="C59" s="7">
        <f>SUM(C57:C58)</f>
        <v>0</v>
      </c>
      <c r="D59" s="8"/>
      <c r="E59" s="8"/>
      <c r="F59" s="8"/>
    </row>
    <row r="60" spans="2:6" ht="44.25" customHeight="1" x14ac:dyDescent="0.25">
      <c r="B60" s="18" t="s">
        <v>69</v>
      </c>
      <c r="C60" s="18"/>
      <c r="D60" s="18"/>
      <c r="E60" s="18"/>
      <c r="F60" s="18"/>
    </row>
    <row r="61" spans="2:6" ht="44.25" customHeight="1" x14ac:dyDescent="0.25">
      <c r="B61" s="5" t="s">
        <v>70</v>
      </c>
      <c r="C61" s="4">
        <v>0</v>
      </c>
      <c r="D61" s="5"/>
      <c r="E61" s="5" t="s">
        <v>84</v>
      </c>
      <c r="F61" s="5" t="s">
        <v>10</v>
      </c>
    </row>
    <row r="62" spans="2:6" ht="44.25" customHeight="1" x14ac:dyDescent="0.25">
      <c r="B62" s="5" t="s">
        <v>71</v>
      </c>
      <c r="C62" s="4">
        <v>0</v>
      </c>
      <c r="D62" s="5"/>
      <c r="E62" s="5" t="s">
        <v>83</v>
      </c>
      <c r="F62" s="5" t="s">
        <v>10</v>
      </c>
    </row>
    <row r="63" spans="2:6" ht="44.25" customHeight="1" x14ac:dyDescent="0.25">
      <c r="B63" s="6" t="s">
        <v>72</v>
      </c>
      <c r="C63" s="7">
        <f>SUM(C61:C62)</f>
        <v>0</v>
      </c>
      <c r="D63" s="8"/>
      <c r="E63" s="8"/>
      <c r="F63" s="8"/>
    </row>
    <row r="64" spans="2:6" ht="44.25" customHeight="1" x14ac:dyDescent="0.25">
      <c r="B64" s="19" t="s">
        <v>73</v>
      </c>
      <c r="C64" s="19"/>
      <c r="D64" s="19"/>
      <c r="E64" s="19"/>
      <c r="F64" s="19"/>
    </row>
    <row r="65" spans="2:6" ht="44.25" customHeight="1" x14ac:dyDescent="0.25">
      <c r="B65" s="18" t="s">
        <v>74</v>
      </c>
      <c r="C65" s="18"/>
      <c r="D65" s="18"/>
      <c r="E65" s="18"/>
      <c r="F65" s="18"/>
    </row>
    <row r="66" spans="2:6" ht="44.25" customHeight="1" x14ac:dyDescent="0.25">
      <c r="B66" s="5" t="s">
        <v>75</v>
      </c>
      <c r="C66" s="4">
        <v>80</v>
      </c>
      <c r="D66" s="5"/>
      <c r="E66" s="5" t="s">
        <v>76</v>
      </c>
      <c r="F66" s="5" t="s">
        <v>13</v>
      </c>
    </row>
    <row r="67" spans="2:6" ht="19.5" customHeight="1" x14ac:dyDescent="0.25">
      <c r="B67" s="6" t="s">
        <v>77</v>
      </c>
      <c r="C67" s="7">
        <f>SUM(C66:C66)</f>
        <v>80</v>
      </c>
      <c r="D67" s="8"/>
      <c r="E67" s="8"/>
      <c r="F67" s="8"/>
    </row>
    <row r="69" spans="2:6" ht="25.5" customHeight="1" x14ac:dyDescent="0.25">
      <c r="B69" s="19" t="s">
        <v>78</v>
      </c>
      <c r="C69" s="19"/>
      <c r="D69" s="19"/>
      <c r="E69" s="19"/>
      <c r="F69" s="19"/>
    </row>
    <row r="70" spans="2:6" ht="24" customHeight="1" x14ac:dyDescent="0.25">
      <c r="B70" s="9" t="s">
        <v>79</v>
      </c>
      <c r="C70" s="10">
        <f>C9+C13+C17+C21+C25+C29+C32+C36+C41+C45+C49+C54+C59+C63+C67</f>
        <v>1030</v>
      </c>
      <c r="D70" s="11"/>
      <c r="E70" s="11"/>
      <c r="F70" s="11"/>
    </row>
    <row r="71" spans="2:6" ht="24" customHeight="1" x14ac:dyDescent="0.25">
      <c r="B71" s="12" t="s">
        <v>104</v>
      </c>
      <c r="C71" s="13">
        <f>ROUNDUP(SUM(C35+C34+C31+C23+C20+C16+C15+C12+C8+C7),10)</f>
        <v>750</v>
      </c>
      <c r="D71" s="14"/>
      <c r="E71" s="14"/>
      <c r="F71" s="14"/>
    </row>
    <row r="73" spans="2:6" ht="30" customHeight="1" x14ac:dyDescent="0.25">
      <c r="B73" s="20" t="s">
        <v>80</v>
      </c>
      <c r="C73" s="20"/>
      <c r="D73" s="20"/>
      <c r="E73" s="20"/>
      <c r="F73" s="20"/>
    </row>
  </sheetData>
  <mergeCells count="24">
    <mergeCell ref="B18:F18"/>
    <mergeCell ref="B22:F22"/>
    <mergeCell ref="B26:F26"/>
    <mergeCell ref="B27:F27"/>
    <mergeCell ref="B1:F1"/>
    <mergeCell ref="B3:F3"/>
    <mergeCell ref="B4:F4"/>
    <mergeCell ref="B10:F10"/>
    <mergeCell ref="B14:F14"/>
    <mergeCell ref="B30:F30"/>
    <mergeCell ref="B33:F33"/>
    <mergeCell ref="B37:F37"/>
    <mergeCell ref="B38:F38"/>
    <mergeCell ref="B42:F42"/>
    <mergeCell ref="B46:F46"/>
    <mergeCell ref="B47:F47"/>
    <mergeCell ref="B50:F50"/>
    <mergeCell ref="B55:F55"/>
    <mergeCell ref="B56:F56"/>
    <mergeCell ref="B60:F60"/>
    <mergeCell ref="B64:F64"/>
    <mergeCell ref="B65:F65"/>
    <mergeCell ref="B69:F69"/>
    <mergeCell ref="B73:F73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Amplify Budget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linds</cp:lastModifiedBy>
  <cp:revision>0</cp:revision>
  <dcterms:created xsi:type="dcterms:W3CDTF">2026-04-12T09:30:23Z</dcterms:created>
  <dcterms:modified xsi:type="dcterms:W3CDTF">2026-04-13T12:36:03Z</dcterms:modified>
  <dc:language>en-US</dc:language>
</cp:coreProperties>
</file>